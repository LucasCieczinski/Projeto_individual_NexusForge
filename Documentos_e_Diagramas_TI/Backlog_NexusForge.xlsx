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lucas_peres_sptech_school/Documents/Documentos/FACUL/Projeto individual/Planejamento do Projeto/"/>
    </mc:Choice>
  </mc:AlternateContent>
  <xr:revisionPtr revIDLastSave="360" documentId="13_ncr:1_{A938CB55-E6AB-44DB-B572-82C08BD01FFA}" xr6:coauthVersionLast="47" xr6:coauthVersionMax="47" xr10:uidLastSave="{D2E9BA5F-6593-4408-9F5D-A0F818D29C65}"/>
  <bookViews>
    <workbookView minimized="1" xWindow="1476" yWindow="2652" windowWidth="17280" windowHeight="9420" xr2:uid="{00000000-000D-0000-FFFF-FFFF00000000}"/>
  </bookViews>
  <sheets>
    <sheet name="BackLog" sheetId="1" r:id="rId1"/>
    <sheet name="Riscos" sheetId="2" r:id="rId2"/>
  </sheets>
  <definedNames>
    <definedName name="_xlnm._FilterDatabase" localSheetId="0" hidden="1">BackLog!$A$1:$I$23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 a="1"/>
  <c r="M7" i="1"/>
  <c r="L4" i="1"/>
  <c r="M5" i="1" s="1"/>
  <c r="M6" i="1" s="1"/>
  <c r="L5" i="1" l="1"/>
  <c r="L6" i="1" s="1"/>
  <c r="L7" i="1" s="1"/>
  <c r="L8" i="1" s="1"/>
  <c r="M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<sst xmlns="http://schemas.openxmlformats.org/spreadsheetml/2006/main" count="164" uniqueCount="107">
  <si>
    <t>ID</t>
  </si>
  <si>
    <t>Requisito</t>
  </si>
  <si>
    <t>Descrição</t>
  </si>
  <si>
    <t>Classificação</t>
  </si>
  <si>
    <t>Tamanho</t>
  </si>
  <si>
    <t>Pontos</t>
  </si>
  <si>
    <t>Prioridade</t>
  </si>
  <si>
    <t>Sprint</t>
  </si>
  <si>
    <t>Documentação Inicial do Projeto</t>
  </si>
  <si>
    <t>Elaborar a documentação descrevendo contexto, objetivos, escopo e justificativa do projeto.</t>
  </si>
  <si>
    <t>Essencial</t>
  </si>
  <si>
    <t>M</t>
  </si>
  <si>
    <t>Sprint 1</t>
  </si>
  <si>
    <t>Diagrama de Visão de Negócio</t>
  </si>
  <si>
    <t>P</t>
  </si>
  <si>
    <t>Criação do Repositório GitHub</t>
  </si>
  <si>
    <t>PP</t>
  </si>
  <si>
    <t>Estrutura Base do Front-End</t>
  </si>
  <si>
    <t>G</t>
  </si>
  <si>
    <t>Configuração do Banco de Dados</t>
  </si>
  <si>
    <t>Integração Inicial com API da Riot</t>
  </si>
  <si>
    <t>Implementar conexão com a API da Riot Games para consulta de dados básicos de partidas.</t>
  </si>
  <si>
    <t>GG</t>
  </si>
  <si>
    <t>Sprint 2</t>
  </si>
  <si>
    <t>Modelagem Lógica de Dados v1</t>
  </si>
  <si>
    <t>Dashboard de Estatísticas (Front-End)</t>
  </si>
  <si>
    <t>Criar dashboard inicial para exibir métricas básicas como KDA, dano e ouro.</t>
  </si>
  <si>
    <t>Implementar Chart.js</t>
  </si>
  <si>
    <t>Adicionar gráficos interativos no dashboard para visualização dos dados.</t>
  </si>
  <si>
    <t>API Local (Back-End)</t>
  </si>
  <si>
    <t>Sprint 3</t>
  </si>
  <si>
    <t>Integração Front-End + Back-End</t>
  </si>
  <si>
    <t>Tratamento de Dados</t>
  </si>
  <si>
    <t>Tratar os dados recebido pela API</t>
  </si>
  <si>
    <t>Importante</t>
  </si>
  <si>
    <t>Geração de Insights Personalizados</t>
  </si>
  <si>
    <t>Criar algoritmo que identifique pontos fortes e fracos do jogador com base nas métricas.</t>
  </si>
  <si>
    <t>Sprint 4</t>
  </si>
  <si>
    <t>Validação dos Cálculos de Performance</t>
  </si>
  <si>
    <t>Testar e validar os cálculos de desempenho para garantir consistência nos resultados.</t>
  </si>
  <si>
    <t>Criação de Login e Cadastro (Simples)</t>
  </si>
  <si>
    <t>Sistema de Persistência</t>
  </si>
  <si>
    <t>Permitir salvar análises geradas no banco e associá-las ao usuário logado.</t>
  </si>
  <si>
    <t>Exportação de Relatórios</t>
  </si>
  <si>
    <t>Desejável</t>
  </si>
  <si>
    <t>Testes de Integração</t>
  </si>
  <si>
    <t>Realizar testes integrando API, banco e interface, garantindo estabilidade.</t>
  </si>
  <si>
    <t>Planejamento de Riscos</t>
  </si>
  <si>
    <t>Elaborar planilha de riscos e planos de mitigação.</t>
  </si>
  <si>
    <t>Ajustes Finais e Otimização</t>
  </si>
  <si>
    <t>Aplicar correções e otimizar tempo de carregamento e responsividade.</t>
  </si>
  <si>
    <t>Apresentação Final do Projeto</t>
  </si>
  <si>
    <t>Preparar apresentação funcional e visual para entrega.</t>
  </si>
  <si>
    <t>Criar um diagrama que demonstre o objetivo do projeto e o que será resolvido</t>
  </si>
  <si>
    <t>Criar e organizar o repositório do projeto no GitHub</t>
  </si>
  <si>
    <t>Criar a base do front-end com HTML e CSS (Tela inicial, Telas de login e Cadastro e Tela da ferramenta)</t>
  </si>
  <si>
    <t>Criar script dno MySQL e definir tabelas iniciais (usuários).</t>
  </si>
  <si>
    <t>Criar a modelagem logica (DER)</t>
  </si>
  <si>
    <t>Integrar ambas as APIs com o Front-End da pagina</t>
  </si>
  <si>
    <t>Realizar validações para Login e Cadastro</t>
  </si>
  <si>
    <t>Implementar opção de exportar relatórios de desempenho em PDF.</t>
  </si>
  <si>
    <t>Revisar e atualizar documentação</t>
  </si>
  <si>
    <t>Documentação Atualizada</t>
  </si>
  <si>
    <t>Projeto</t>
  </si>
  <si>
    <t>Total</t>
  </si>
  <si>
    <t>Planejado</t>
  </si>
  <si>
    <t>Entregue</t>
  </si>
  <si>
    <t>SPRINT 1</t>
  </si>
  <si>
    <t>SPRINT 2</t>
  </si>
  <si>
    <t>SPRINT 3</t>
  </si>
  <si>
    <t>SPRINT 4</t>
  </si>
  <si>
    <t>STATUS</t>
  </si>
  <si>
    <t>Desejavel</t>
  </si>
  <si>
    <t>Adquirir e armazenar temporariamente os dados recebidos pela API Riot</t>
  </si>
  <si>
    <t>Planilha de Riscos</t>
  </si>
  <si>
    <t>NexusForge</t>
  </si>
  <si>
    <t>id</t>
  </si>
  <si>
    <t>Descrição do Risco</t>
  </si>
  <si>
    <t>Probabilidade (P)</t>
  </si>
  <si>
    <t>1- Baixa</t>
  </si>
  <si>
    <t>2- Média</t>
  </si>
  <si>
    <t>3- Alta</t>
  </si>
  <si>
    <t>Impacto (I)</t>
  </si>
  <si>
    <t>1- Baixo</t>
  </si>
  <si>
    <t>2- Médio</t>
  </si>
  <si>
    <t>3- Alto</t>
  </si>
  <si>
    <t>Fator de Risco</t>
  </si>
  <si>
    <t>(P) x (I)</t>
  </si>
  <si>
    <t>Ação</t>
  </si>
  <si>
    <t>-Evitar</t>
  </si>
  <si>
    <t>-Mitigar</t>
  </si>
  <si>
    <t>Como?</t>
  </si>
  <si>
    <t>Mitigar</t>
  </si>
  <si>
    <t>Atraso nas entregas</t>
  </si>
  <si>
    <t>Não entregar os requisitos</t>
  </si>
  <si>
    <t>Evitar</t>
  </si>
  <si>
    <t>A equipe (eu) adoecer ou algo do genero</t>
  </si>
  <si>
    <t>Diminuir o ritmo do trabalho, caso possivel</t>
  </si>
  <si>
    <t>Acompanhamento constante nas ferramentas de gestão</t>
  </si>
  <si>
    <t>Manter sempre arquivos atualizados no GitHub.</t>
  </si>
  <si>
    <t>Focar nos requisistos mais importantes primeiro</t>
  </si>
  <si>
    <t>Falta de conhecimento técnico do integrante</t>
  </si>
  <si>
    <t>Estudar por fora ou pedir ajuda a colegas e professores</t>
  </si>
  <si>
    <t>Utilizar e abusar da ajuda dos monitores (Sala de Apoio)</t>
  </si>
  <si>
    <t>Projeto paralisado por qualquer razão</t>
  </si>
  <si>
    <t>Buscar entender o por que.</t>
  </si>
  <si>
    <t xml:space="preserve">OBS: Sempre tentar pegar opniões de Professores e colegas, quanto mais pontos de vista melhor!!!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</si>
</sst>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8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20"/>
      <color theme="0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F9999"/>
        <bgColor rgb="FFFF9999"/>
      </patternFill>
    </fill>
    <fill>
      <patternFill patternType="solid">
        <fgColor rgb="FFFF6666"/>
        <bgColor rgb="FFFF6666"/>
      </patternFill>
    </fill>
    <fill>
      <patternFill patternType="solid">
        <fgColor rgb="FFF2F2F2"/>
        <bgColor rgb="FFF2F2F2"/>
      </patternFill>
    </fill>
    <fill>
      <patternFill patternType="solid">
        <fgColor rgb="FFFFCC66"/>
        <bgColor rgb="FFFFCC66"/>
      </patternFill>
    </fill>
    <fill>
      <patternFill patternType="solid">
        <fgColor rgb="FFFFF599"/>
        <bgColor rgb="FFFFF599"/>
      </patternFill>
    </fill>
    <fill>
      <patternFill patternType="solid">
        <fgColor rgb="FF99CCFF"/>
        <bgColor rgb="FF99CCFF"/>
      </patternFill>
    </fill>
    <fill>
      <patternFill patternType="solid">
        <fgColor rgb="FFB7E1CD"/>
        <bgColor rgb="FFB7E1CD"/>
      </patternFill>
    </fill>
    <fill>
      <patternFill patternType="solid">
        <fgColor theme="5" tint="0.39997558519241921"/>
        <bgColor rgb="FFFFF599"/>
      </patternFill>
    </fill>
    <fill>
      <patternFill patternType="solid">
        <fgColor theme="8" tint="0.79998168889431442"/>
        <bgColor rgb="FFFFF3E0"/>
      </patternFill>
    </fill>
    <fill>
      <patternFill patternType="solid">
        <fgColor theme="8" tint="0.79998168889431442"/>
        <bgColor rgb="FFEAF1F8"/>
      </patternFill>
    </fill>
    <fill>
      <patternFill patternType="solid">
        <fgColor theme="8" tint="0.79998168889431442"/>
        <bgColor rgb="FFFCEFEF"/>
      </patternFill>
    </fill>
    <fill>
      <patternFill patternType="solid">
        <fgColor theme="6" tint="0.39997558519241921"/>
        <bgColor rgb="FFFF9999"/>
      </patternFill>
    </fill>
    <fill>
      <patternFill patternType="solid">
        <fgColor theme="9" tint="0.79998168889431442"/>
        <bgColor rgb="FFF3E5F5"/>
      </patternFill>
    </fill>
    <fill>
      <patternFill patternType="solid">
        <fgColor theme="9" tint="0.79998168889431442"/>
        <bgColor rgb="FFFCEFEF"/>
      </patternFill>
    </fill>
    <fill>
      <patternFill patternType="solid">
        <fgColor theme="6" tint="0.59999389629810485"/>
        <bgColor rgb="FFE8F5E9"/>
      </patternFill>
    </fill>
    <fill>
      <patternFill patternType="solid">
        <fgColor theme="6" tint="0.59999389629810485"/>
        <bgColor rgb="FFFFF3E0"/>
      </patternFill>
    </fill>
    <fill>
      <patternFill patternType="solid">
        <fgColor theme="7" tint="0.59999389629810485"/>
        <bgColor rgb="FFFFF3E0"/>
      </patternFill>
    </fill>
    <fill>
      <patternFill patternType="solid">
        <fgColor theme="7" tint="0.59999389629810485"/>
        <bgColor rgb="FFF3E5F5"/>
      </patternFill>
    </fill>
    <fill>
      <patternFill patternType="solid">
        <fgColor rgb="FFFFFF00"/>
        <bgColor rgb="FF000000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15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4" fillId="24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BackLog!$L$3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BackLog!$K$4:$K$9</c:f>
              <c:strCache>
                <c:ptCount val="5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BackLog!$L$4:$L$9</c:f>
              <c:numCache>
                <c:formatCode>General</c:formatCode>
                <c:ptCount val="6"/>
                <c:pt idx="0">
                  <c:v>183</c:v>
                </c:pt>
                <c:pt idx="1">
                  <c:v>133</c:v>
                </c:pt>
                <c:pt idx="2">
                  <c:v>86</c:v>
                </c:pt>
                <c:pt idx="3">
                  <c:v>31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1-4C83-AB2F-8123B8717853}"/>
            </c:ext>
          </c:extLst>
        </c:ser>
        <c:ser>
          <c:idx val="1"/>
          <c:order val="1"/>
          <c:tx>
            <c:strRef>
              <c:f>BackLog!$M$3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BackLog!$K$4:$K$9</c:f>
              <c:strCache>
                <c:ptCount val="5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BackLog!$M$4:$M$9</c:f>
              <c:numCache>
                <c:formatCode>General</c:formatCode>
                <c:ptCount val="6"/>
                <c:pt idx="0">
                  <c:v>183</c:v>
                </c:pt>
                <c:pt idx="1">
                  <c:v>138</c:v>
                </c:pt>
                <c:pt idx="2">
                  <c:v>91</c:v>
                </c:pt>
                <c:pt idx="3">
                  <c:v>28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1-4C83-AB2F-8123B871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545248"/>
        <c:axId val="1195544768"/>
      </c:lineChart>
      <c:catAx>
        <c:axId val="11955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544768"/>
        <c:crosses val="autoZero"/>
        <c:auto val="1"/>
        <c:lblAlgn val="ctr"/>
        <c:lblOffset val="100"/>
        <c:noMultiLvlLbl val="0"/>
      </c:catAx>
      <c:valAx>
        <c:axId val="11955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5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167640</xdr:rowOff>
    </xdr:from>
    <xdr:to>
      <xdr:col>21</xdr:col>
      <xdr:colOff>304800</xdr:colOff>
      <xdr:row>16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F4D6FA-5D59-8F56-C2C0-0808BB350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G1" zoomScale="89" zoomScaleNormal="85" workbookViewId="0">
      <selection activeCell="T25" sqref="T25"/>
    </sheetView>
  </sheetViews>
  <sheetFormatPr defaultRowHeight="14.4" x14ac:dyDescent="0.3"/>
  <cols>
    <col min="1" max="1" width="9.6640625" customWidth="1"/>
    <col min="2" max="2" width="48" customWidth="1"/>
    <col min="3" max="3" width="96" customWidth="1"/>
    <col min="4" max="4" width="18" customWidth="1"/>
    <col min="5" max="5" width="9.5546875" customWidth="1"/>
    <col min="6" max="6" width="8.44140625" customWidth="1"/>
    <col min="7" max="7" width="15" customWidth="1"/>
    <col min="12" max="12" width="11" bestFit="1" customWidth="1"/>
  </cols>
  <sheetData>
    <row r="1" spans="1:1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</row>
    <row r="2" spans="1:13" x14ac:dyDescent="0.3">
      <c r="A2" s="7">
        <v>1</v>
      </c>
      <c r="B2" s="2" t="s">
        <v>8</v>
      </c>
      <c r="C2" s="2" t="s">
        <v>9</v>
      </c>
      <c r="D2" s="3" t="s">
        <v>10</v>
      </c>
      <c r="E2" s="7" t="s">
        <v>11</v>
      </c>
      <c r="F2" s="7">
        <v>8</v>
      </c>
      <c r="G2" s="9">
        <v>1</v>
      </c>
      <c r="H2" s="16" t="s">
        <v>12</v>
      </c>
      <c r="I2" s="13" t="b">
        <v>1</v>
      </c>
    </row>
    <row r="3" spans="1:13" x14ac:dyDescent="0.3">
      <c r="A3" s="8">
        <v>2</v>
      </c>
      <c r="B3" s="4" t="s">
        <v>13</v>
      </c>
      <c r="C3" s="4" t="s">
        <v>53</v>
      </c>
      <c r="D3" s="3" t="s">
        <v>10</v>
      </c>
      <c r="E3" s="8" t="s">
        <v>14</v>
      </c>
      <c r="F3" s="8">
        <v>5</v>
      </c>
      <c r="G3" s="9">
        <v>1</v>
      </c>
      <c r="H3" s="16" t="s">
        <v>12</v>
      </c>
      <c r="I3" s="13" t="b">
        <v>1</v>
      </c>
      <c r="K3" s="14" t="s">
        <v>63</v>
      </c>
      <c r="L3" s="14" t="s">
        <v>65</v>
      </c>
      <c r="M3" s="14" t="s">
        <v>66</v>
      </c>
    </row>
    <row r="4" spans="1:13" x14ac:dyDescent="0.3">
      <c r="A4" s="8">
        <v>3</v>
      </c>
      <c r="B4" s="4" t="s">
        <v>15</v>
      </c>
      <c r="C4" s="4" t="s">
        <v>54</v>
      </c>
      <c r="D4" s="3" t="s">
        <v>10</v>
      </c>
      <c r="E4" s="8" t="s">
        <v>16</v>
      </c>
      <c r="F4" s="8">
        <v>3</v>
      </c>
      <c r="G4" s="9">
        <v>1</v>
      </c>
      <c r="H4" s="16" t="s">
        <v>12</v>
      </c>
      <c r="I4" s="13" t="b">
        <v>1</v>
      </c>
      <c r="K4" s="14" t="s">
        <v>64</v>
      </c>
      <c r="L4" s="14">
        <f>SUM(F2:F23)</f>
        <v>183</v>
      </c>
      <c r="M4" s="14">
        <f>L4</f>
        <v>183</v>
      </c>
    </row>
    <row r="5" spans="1:13" x14ac:dyDescent="0.3">
      <c r="A5" s="7">
        <v>4</v>
      </c>
      <c r="B5" s="2" t="s">
        <v>17</v>
      </c>
      <c r="C5" s="2" t="s">
        <v>55</v>
      </c>
      <c r="D5" s="3" t="s">
        <v>10</v>
      </c>
      <c r="E5" s="7" t="s">
        <v>18</v>
      </c>
      <c r="F5" s="7">
        <v>13</v>
      </c>
      <c r="G5" s="9">
        <v>1</v>
      </c>
      <c r="H5" s="16" t="s">
        <v>12</v>
      </c>
      <c r="I5" s="13" t="b">
        <v>1</v>
      </c>
      <c r="K5" s="14" t="s">
        <v>67</v>
      </c>
      <c r="L5" s="14">
        <f>L4-SUM(F2:F8)</f>
        <v>133</v>
      </c>
      <c r="M5" s="14">
        <f>L4-SUM(F2+F4+F5+F6+F7+F8)</f>
        <v>138</v>
      </c>
    </row>
    <row r="6" spans="1:13" x14ac:dyDescent="0.3">
      <c r="A6" s="8">
        <v>5</v>
      </c>
      <c r="B6" s="4" t="s">
        <v>19</v>
      </c>
      <c r="C6" s="4" t="s">
        <v>56</v>
      </c>
      <c r="D6" s="3" t="s">
        <v>10</v>
      </c>
      <c r="E6" s="8" t="s">
        <v>11</v>
      </c>
      <c r="F6" s="8">
        <v>8</v>
      </c>
      <c r="G6" s="9">
        <v>1</v>
      </c>
      <c r="H6" s="16" t="s">
        <v>12</v>
      </c>
      <c r="I6" s="13" t="b">
        <v>1</v>
      </c>
      <c r="K6" s="14" t="s">
        <v>68</v>
      </c>
      <c r="L6" s="14">
        <f>L5-SUM(F9:F13)</f>
        <v>86</v>
      </c>
      <c r="M6" s="14">
        <f>M5-SUM(F9:F13)</f>
        <v>91</v>
      </c>
    </row>
    <row r="7" spans="1:13" x14ac:dyDescent="0.3">
      <c r="A7" s="8">
        <v>6</v>
      </c>
      <c r="B7" s="4" t="s">
        <v>24</v>
      </c>
      <c r="C7" s="4" t="s">
        <v>57</v>
      </c>
      <c r="D7" s="3" t="s">
        <v>10</v>
      </c>
      <c r="E7" s="8" t="s">
        <v>11</v>
      </c>
      <c r="F7" s="8">
        <v>8</v>
      </c>
      <c r="G7" s="10">
        <v>2</v>
      </c>
      <c r="H7" s="17" t="s">
        <v>12</v>
      </c>
      <c r="I7" s="13" t="b">
        <v>1</v>
      </c>
      <c r="K7" s="14" t="s">
        <v>69</v>
      </c>
      <c r="L7" s="14">
        <f>L6-SUM(F14:F18)</f>
        <v>31</v>
      </c>
      <c r="M7" s="14" cm="1">
        <f t="array" ref="M7">M6-SUM(F14:F16+F18)</f>
        <v>28</v>
      </c>
    </row>
    <row r="8" spans="1:13" x14ac:dyDescent="0.3">
      <c r="A8" s="8">
        <v>7</v>
      </c>
      <c r="B8" s="4" t="s">
        <v>40</v>
      </c>
      <c r="C8" s="4" t="s">
        <v>59</v>
      </c>
      <c r="D8" s="5" t="s">
        <v>34</v>
      </c>
      <c r="E8" s="8" t="s">
        <v>14</v>
      </c>
      <c r="F8" s="8">
        <v>5</v>
      </c>
      <c r="G8" s="11">
        <v>3</v>
      </c>
      <c r="H8" s="18" t="s">
        <v>12</v>
      </c>
      <c r="I8" s="13" t="b">
        <v>1</v>
      </c>
      <c r="K8" s="14" t="s">
        <v>70</v>
      </c>
      <c r="L8" s="14">
        <f>L7-SUM(F19:F23)</f>
        <v>0</v>
      </c>
      <c r="M8" s="14">
        <v>0</v>
      </c>
    </row>
    <row r="9" spans="1:13" x14ac:dyDescent="0.3">
      <c r="A9" s="8">
        <v>8</v>
      </c>
      <c r="B9" s="4" t="s">
        <v>27</v>
      </c>
      <c r="C9" s="4" t="s">
        <v>28</v>
      </c>
      <c r="D9" s="3" t="s">
        <v>10</v>
      </c>
      <c r="E9" s="8" t="s">
        <v>11</v>
      </c>
      <c r="F9" s="8">
        <v>8</v>
      </c>
      <c r="G9" s="10">
        <v>2</v>
      </c>
      <c r="H9" s="19" t="s">
        <v>23</v>
      </c>
      <c r="I9" s="13" t="b">
        <v>1</v>
      </c>
      <c r="K9" s="14"/>
      <c r="L9" s="14"/>
      <c r="M9" s="14"/>
    </row>
    <row r="10" spans="1:13" x14ac:dyDescent="0.3">
      <c r="A10" s="7">
        <v>9</v>
      </c>
      <c r="B10" s="2" t="s">
        <v>20</v>
      </c>
      <c r="C10" s="2" t="s">
        <v>21</v>
      </c>
      <c r="D10" s="3" t="s">
        <v>10</v>
      </c>
      <c r="E10" s="7" t="s">
        <v>22</v>
      </c>
      <c r="F10" s="7">
        <v>21</v>
      </c>
      <c r="G10" s="9">
        <v>1</v>
      </c>
      <c r="H10" s="19" t="s">
        <v>23</v>
      </c>
      <c r="I10" s="13" t="b">
        <v>1</v>
      </c>
    </row>
    <row r="11" spans="1:13" x14ac:dyDescent="0.3">
      <c r="A11" s="7">
        <v>10</v>
      </c>
      <c r="B11" s="2" t="s">
        <v>25</v>
      </c>
      <c r="C11" s="2" t="s">
        <v>26</v>
      </c>
      <c r="D11" s="3" t="s">
        <v>10</v>
      </c>
      <c r="E11" s="7" t="s">
        <v>11</v>
      </c>
      <c r="F11" s="7">
        <v>8</v>
      </c>
      <c r="G11" s="10">
        <v>2</v>
      </c>
      <c r="H11" s="19" t="s">
        <v>23</v>
      </c>
      <c r="I11" s="13" t="b">
        <v>1</v>
      </c>
    </row>
    <row r="12" spans="1:13" x14ac:dyDescent="0.3">
      <c r="A12" s="8">
        <v>11</v>
      </c>
      <c r="B12" s="4" t="s">
        <v>62</v>
      </c>
      <c r="C12" s="4" t="s">
        <v>61</v>
      </c>
      <c r="D12" s="3" t="s">
        <v>10</v>
      </c>
      <c r="E12" s="8" t="s">
        <v>14</v>
      </c>
      <c r="F12" s="8">
        <v>5</v>
      </c>
      <c r="G12" s="9">
        <v>1</v>
      </c>
      <c r="H12" s="20" t="s">
        <v>23</v>
      </c>
      <c r="I12" s="13" t="b">
        <v>1</v>
      </c>
    </row>
    <row r="13" spans="1:13" x14ac:dyDescent="0.3">
      <c r="A13" s="7">
        <v>12</v>
      </c>
      <c r="B13" s="2" t="s">
        <v>47</v>
      </c>
      <c r="C13" s="2" t="s">
        <v>48</v>
      </c>
      <c r="D13" s="5" t="s">
        <v>34</v>
      </c>
      <c r="E13" s="7" t="s">
        <v>14</v>
      </c>
      <c r="F13" s="7">
        <v>5</v>
      </c>
      <c r="G13" s="9">
        <v>1</v>
      </c>
      <c r="H13" s="20" t="s">
        <v>23</v>
      </c>
      <c r="I13" s="13" t="b">
        <v>1</v>
      </c>
    </row>
    <row r="14" spans="1:13" x14ac:dyDescent="0.3">
      <c r="A14" s="7">
        <v>13</v>
      </c>
      <c r="B14" s="2" t="s">
        <v>29</v>
      </c>
      <c r="C14" s="2" t="s">
        <v>73</v>
      </c>
      <c r="D14" s="3" t="s">
        <v>10</v>
      </c>
      <c r="E14" s="7" t="s">
        <v>18</v>
      </c>
      <c r="F14" s="7">
        <v>13</v>
      </c>
      <c r="G14" s="10">
        <v>2</v>
      </c>
      <c r="H14" s="21" t="s">
        <v>30</v>
      </c>
      <c r="I14" s="13" t="b">
        <v>1</v>
      </c>
    </row>
    <row r="15" spans="1:13" x14ac:dyDescent="0.3">
      <c r="A15" s="8">
        <v>14</v>
      </c>
      <c r="B15" s="4" t="s">
        <v>31</v>
      </c>
      <c r="C15" s="4" t="s">
        <v>58</v>
      </c>
      <c r="D15" s="3" t="s">
        <v>10</v>
      </c>
      <c r="E15" s="8" t="s">
        <v>22</v>
      </c>
      <c r="F15" s="8">
        <v>21</v>
      </c>
      <c r="G15" s="10">
        <v>2</v>
      </c>
      <c r="H15" s="21" t="s">
        <v>30</v>
      </c>
      <c r="I15" s="13" t="b">
        <v>1</v>
      </c>
    </row>
    <row r="16" spans="1:13" x14ac:dyDescent="0.3">
      <c r="A16" s="7">
        <v>15</v>
      </c>
      <c r="B16" s="2" t="s">
        <v>32</v>
      </c>
      <c r="C16" s="2" t="s">
        <v>33</v>
      </c>
      <c r="D16" s="5" t="s">
        <v>34</v>
      </c>
      <c r="E16" s="7" t="s">
        <v>14</v>
      </c>
      <c r="F16" s="7">
        <v>5</v>
      </c>
      <c r="G16" s="10">
        <v>2</v>
      </c>
      <c r="H16" s="21" t="s">
        <v>30</v>
      </c>
      <c r="I16" s="13" t="b">
        <v>1</v>
      </c>
    </row>
    <row r="17" spans="1:9" x14ac:dyDescent="0.3">
      <c r="A17" s="7">
        <v>16</v>
      </c>
      <c r="B17" s="2" t="s">
        <v>41</v>
      </c>
      <c r="C17" s="2" t="s">
        <v>42</v>
      </c>
      <c r="D17" s="15" t="s">
        <v>72</v>
      </c>
      <c r="E17" s="7" t="s">
        <v>11</v>
      </c>
      <c r="F17" s="7">
        <v>8</v>
      </c>
      <c r="G17" s="11">
        <v>3</v>
      </c>
      <c r="H17" s="21" t="s">
        <v>30</v>
      </c>
      <c r="I17" s="13" t="b">
        <v>1</v>
      </c>
    </row>
    <row r="18" spans="1:9" x14ac:dyDescent="0.3">
      <c r="A18" s="8">
        <v>17</v>
      </c>
      <c r="B18" s="4" t="s">
        <v>35</v>
      </c>
      <c r="C18" s="4" t="s">
        <v>36</v>
      </c>
      <c r="D18" s="12" t="s">
        <v>10</v>
      </c>
      <c r="E18" s="8" t="s">
        <v>11</v>
      </c>
      <c r="F18" s="8">
        <v>8</v>
      </c>
      <c r="G18" s="11">
        <v>3</v>
      </c>
      <c r="H18" s="22" t="s">
        <v>30</v>
      </c>
      <c r="I18" s="13" t="b">
        <v>1</v>
      </c>
    </row>
    <row r="19" spans="1:9" x14ac:dyDescent="0.3">
      <c r="A19" s="7">
        <v>18</v>
      </c>
      <c r="B19" s="2" t="s">
        <v>38</v>
      </c>
      <c r="C19" s="2" t="s">
        <v>39</v>
      </c>
      <c r="D19" s="5" t="s">
        <v>34</v>
      </c>
      <c r="E19" s="7" t="s">
        <v>14</v>
      </c>
      <c r="F19" s="7">
        <v>5</v>
      </c>
      <c r="G19" s="11">
        <v>3</v>
      </c>
      <c r="H19" s="23" t="s">
        <v>37</v>
      </c>
      <c r="I19" s="13" t="b">
        <v>1</v>
      </c>
    </row>
    <row r="20" spans="1:9" x14ac:dyDescent="0.3">
      <c r="A20" s="8">
        <v>19</v>
      </c>
      <c r="B20" s="4" t="s">
        <v>43</v>
      </c>
      <c r="C20" s="4" t="s">
        <v>60</v>
      </c>
      <c r="D20" s="6" t="s">
        <v>44</v>
      </c>
      <c r="E20" s="8" t="s">
        <v>11</v>
      </c>
      <c r="F20" s="8">
        <v>8</v>
      </c>
      <c r="G20" s="11">
        <v>3</v>
      </c>
      <c r="H20" s="23" t="s">
        <v>37</v>
      </c>
      <c r="I20" s="13" t="b">
        <v>1</v>
      </c>
    </row>
    <row r="21" spans="1:9" x14ac:dyDescent="0.3">
      <c r="A21" s="7">
        <v>20</v>
      </c>
      <c r="B21" s="2" t="s">
        <v>45</v>
      </c>
      <c r="C21" s="2" t="s">
        <v>46</v>
      </c>
      <c r="D21" s="3" t="s">
        <v>10</v>
      </c>
      <c r="E21" s="7" t="s">
        <v>11</v>
      </c>
      <c r="F21" s="7">
        <v>8</v>
      </c>
      <c r="G21" s="10">
        <v>2</v>
      </c>
      <c r="H21" s="24" t="s">
        <v>37</v>
      </c>
      <c r="I21" s="13" t="b">
        <v>1</v>
      </c>
    </row>
    <row r="22" spans="1:9" x14ac:dyDescent="0.3">
      <c r="A22" s="7">
        <v>21</v>
      </c>
      <c r="B22" s="2" t="s">
        <v>49</v>
      </c>
      <c r="C22" s="2" t="s">
        <v>50</v>
      </c>
      <c r="D22" s="5" t="s">
        <v>34</v>
      </c>
      <c r="E22" s="7" t="s">
        <v>14</v>
      </c>
      <c r="F22" s="7">
        <v>5</v>
      </c>
      <c r="G22" s="10">
        <v>2</v>
      </c>
      <c r="H22" s="24" t="s">
        <v>37</v>
      </c>
      <c r="I22" s="13" t="b">
        <v>1</v>
      </c>
    </row>
    <row r="23" spans="1:9" x14ac:dyDescent="0.3">
      <c r="A23" s="8">
        <v>22</v>
      </c>
      <c r="B23" s="4" t="s">
        <v>51</v>
      </c>
      <c r="C23" s="4" t="s">
        <v>52</v>
      </c>
      <c r="D23" s="3" t="s">
        <v>10</v>
      </c>
      <c r="E23" s="8" t="s">
        <v>14</v>
      </c>
      <c r="F23" s="8">
        <v>5</v>
      </c>
      <c r="G23" s="9">
        <v>1</v>
      </c>
      <c r="H23" s="24" t="s">
        <v>37</v>
      </c>
      <c r="I23" s="13" t="b">
        <v>1</v>
      </c>
    </row>
  </sheetData>
  <autoFilter ref="A1:I23" xr:uid="{00000000-0001-0000-0000-000000000000}"/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52B1-703D-4570-B07A-E2AFB1D889D1}">
  <dimension ref="C2:I16"/>
  <sheetViews>
    <sheetView topLeftCell="A13" workbookViewId="0">
      <selection activeCell="A9" sqref="A9"/>
    </sheetView>
  </sheetViews>
  <sheetFormatPr defaultRowHeight="14.4" x14ac:dyDescent="0.3"/>
  <cols>
    <col min="4" max="4" width="50.5546875" customWidth="1"/>
    <col min="5" max="5" width="16.77734375" customWidth="1"/>
    <col min="6" max="6" width="12.77734375" customWidth="1"/>
    <col min="7" max="7" width="16.33203125" customWidth="1"/>
    <col min="8" max="8" width="12.109375" customWidth="1"/>
    <col min="9" max="9" width="45.77734375" customWidth="1"/>
  </cols>
  <sheetData>
    <row r="2" spans="3:9" ht="25.8" x14ac:dyDescent="0.5">
      <c r="C2" s="28" t="s">
        <v>74</v>
      </c>
      <c r="D2" s="28"/>
      <c r="E2" s="28"/>
      <c r="F2" s="28"/>
      <c r="G2" s="28"/>
      <c r="H2" s="28"/>
      <c r="I2" s="28"/>
    </row>
    <row r="3" spans="3:9" ht="15.6" x14ac:dyDescent="0.3">
      <c r="C3" s="29" t="s">
        <v>75</v>
      </c>
      <c r="D3" s="29"/>
      <c r="E3" s="29"/>
      <c r="F3" s="29"/>
      <c r="G3" s="29"/>
      <c r="H3" s="29"/>
      <c r="I3" s="29"/>
    </row>
    <row r="4" spans="3:9" x14ac:dyDescent="0.3">
      <c r="C4" s="30" t="s">
        <v>76</v>
      </c>
      <c r="D4" s="30" t="s">
        <v>77</v>
      </c>
      <c r="E4" s="25" t="s">
        <v>78</v>
      </c>
      <c r="F4" s="25" t="s">
        <v>82</v>
      </c>
      <c r="G4" s="25" t="s">
        <v>86</v>
      </c>
      <c r="H4" s="25" t="s">
        <v>88</v>
      </c>
      <c r="I4" s="31" t="s">
        <v>91</v>
      </c>
    </row>
    <row r="5" spans="3:9" x14ac:dyDescent="0.3">
      <c r="C5" s="30"/>
      <c r="D5" s="30"/>
      <c r="E5" s="25" t="s">
        <v>79</v>
      </c>
      <c r="F5" s="25" t="s">
        <v>83</v>
      </c>
      <c r="G5" s="25" t="s">
        <v>87</v>
      </c>
      <c r="H5" s="25" t="s">
        <v>89</v>
      </c>
      <c r="I5" s="31"/>
    </row>
    <row r="6" spans="3:9" x14ac:dyDescent="0.3">
      <c r="C6" s="30"/>
      <c r="D6" s="30"/>
      <c r="E6" s="25" t="s">
        <v>80</v>
      </c>
      <c r="F6" s="25" t="s">
        <v>84</v>
      </c>
      <c r="G6" s="25"/>
      <c r="H6" s="25" t="s">
        <v>90</v>
      </c>
      <c r="I6" s="31"/>
    </row>
    <row r="7" spans="3:9" x14ac:dyDescent="0.3">
      <c r="C7" s="30"/>
      <c r="D7" s="30"/>
      <c r="E7" s="25" t="s">
        <v>81</v>
      </c>
      <c r="F7" s="25" t="s">
        <v>85</v>
      </c>
      <c r="G7" s="25"/>
      <c r="H7" s="25"/>
      <c r="I7" s="31"/>
    </row>
    <row r="8" spans="3:9" ht="36.6" customHeight="1" x14ac:dyDescent="0.3">
      <c r="C8" s="26">
        <v>1</v>
      </c>
      <c r="D8" s="26" t="s">
        <v>96</v>
      </c>
      <c r="E8" s="26">
        <v>2</v>
      </c>
      <c r="F8" s="26">
        <v>3</v>
      </c>
      <c r="G8" s="26">
        <v>6</v>
      </c>
      <c r="H8" s="26" t="s">
        <v>92</v>
      </c>
      <c r="I8" s="26" t="s">
        <v>97</v>
      </c>
    </row>
    <row r="9" spans="3:9" ht="67.8" customHeight="1" x14ac:dyDescent="0.3">
      <c r="C9" s="32">
        <v>2</v>
      </c>
      <c r="D9" s="32" t="s">
        <v>93</v>
      </c>
      <c r="E9" s="32">
        <v>3</v>
      </c>
      <c r="F9" s="32">
        <v>2</v>
      </c>
      <c r="G9" s="32">
        <v>6</v>
      </c>
      <c r="H9" s="32" t="s">
        <v>92</v>
      </c>
      <c r="I9" s="27" t="s">
        <v>98</v>
      </c>
    </row>
    <row r="10" spans="3:9" ht="60.6" customHeight="1" x14ac:dyDescent="0.3">
      <c r="C10" s="32"/>
      <c r="D10" s="32"/>
      <c r="E10" s="32"/>
      <c r="F10" s="32"/>
      <c r="G10" s="32"/>
      <c r="H10" s="32"/>
      <c r="I10" s="27" t="s">
        <v>99</v>
      </c>
    </row>
    <row r="11" spans="3:9" ht="55.8" customHeight="1" x14ac:dyDescent="0.3">
      <c r="C11" s="32">
        <v>3</v>
      </c>
      <c r="D11" s="32" t="s">
        <v>94</v>
      </c>
      <c r="E11" s="32">
        <v>1</v>
      </c>
      <c r="F11" s="32">
        <v>3</v>
      </c>
      <c r="G11" s="32">
        <v>3</v>
      </c>
      <c r="H11" s="32" t="s">
        <v>95</v>
      </c>
      <c r="I11" s="27" t="s">
        <v>100</v>
      </c>
    </row>
    <row r="12" spans="3:9" ht="61.2" customHeight="1" x14ac:dyDescent="0.3">
      <c r="C12" s="32"/>
      <c r="D12" s="32"/>
      <c r="E12" s="32"/>
      <c r="F12" s="32"/>
      <c r="G12" s="32"/>
      <c r="H12" s="32"/>
      <c r="I12" s="27" t="s">
        <v>99</v>
      </c>
    </row>
    <row r="13" spans="3:9" ht="46.2" customHeight="1" x14ac:dyDescent="0.3">
      <c r="C13" s="32">
        <v>5</v>
      </c>
      <c r="D13" s="34" t="s">
        <v>101</v>
      </c>
      <c r="E13" s="32">
        <v>1</v>
      </c>
      <c r="F13" s="32">
        <v>3</v>
      </c>
      <c r="G13" s="32">
        <v>3</v>
      </c>
      <c r="H13" s="32" t="s">
        <v>92</v>
      </c>
      <c r="I13" s="27" t="s">
        <v>102</v>
      </c>
    </row>
    <row r="14" spans="3:9" ht="44.4" customHeight="1" x14ac:dyDescent="0.3">
      <c r="C14" s="32"/>
      <c r="D14" s="34"/>
      <c r="E14" s="32"/>
      <c r="F14" s="32"/>
      <c r="G14" s="32"/>
      <c r="H14" s="32"/>
      <c r="I14" s="27" t="s">
        <v>103</v>
      </c>
    </row>
    <row r="15" spans="3:9" ht="53.4" customHeight="1" x14ac:dyDescent="0.3">
      <c r="C15" s="26">
        <v>6</v>
      </c>
      <c r="D15" s="27" t="s">
        <v>104</v>
      </c>
      <c r="E15" s="26">
        <v>1</v>
      </c>
      <c r="F15" s="26">
        <v>3</v>
      </c>
      <c r="G15" s="26">
        <v>3</v>
      </c>
      <c r="H15" s="26" t="s">
        <v>92</v>
      </c>
      <c r="I15" s="27" t="s">
        <v>105</v>
      </c>
    </row>
    <row r="16" spans="3:9" ht="48" customHeight="1" x14ac:dyDescent="0.3">
      <c r="C16" s="33" t="s">
        <v>106</v>
      </c>
      <c r="D16" s="33"/>
      <c r="E16" s="33"/>
      <c r="F16" s="33"/>
      <c r="G16" s="33"/>
      <c r="H16" s="33"/>
      <c r="I16" s="33"/>
    </row>
  </sheetData>
  <mergeCells count="24">
    <mergeCell ref="G13:G14"/>
    <mergeCell ref="H13:H14"/>
    <mergeCell ref="C16:I16"/>
    <mergeCell ref="C13:C14"/>
    <mergeCell ref="D13:D14"/>
    <mergeCell ref="E13:E14"/>
    <mergeCell ref="F13:F14"/>
    <mergeCell ref="H9:H10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C2:I2"/>
    <mergeCell ref="C3:I3"/>
    <mergeCell ref="C4:C7"/>
    <mergeCell ref="D4:D7"/>
    <mergeCell ref="I4:I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Riscos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CIECZINSKI PERES .</cp:lastModifiedBy>
  <cp:revision/>
  <dcterms:created xsi:type="dcterms:W3CDTF">2025-10-24T01:31:44Z</dcterms:created>
  <dcterms:modified xsi:type="dcterms:W3CDTF">2025-12-02T02:25:45Z</dcterms:modified>
  <cp:category/>
  <cp:contentStatus/>
</cp:coreProperties>
</file>